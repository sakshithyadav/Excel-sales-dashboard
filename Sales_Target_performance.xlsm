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HP-VICTUS\Downloads\"/>
    </mc:Choice>
  </mc:AlternateContent>
  <xr:revisionPtr revIDLastSave="0" documentId="13_ncr:1_{2EDAE3C9-2936-43CB-BBE1-7F8D1132BACC}" xr6:coauthVersionLast="47" xr6:coauthVersionMax="47" xr10:uidLastSave="{00000000-0000-0000-0000-000000000000}"/>
  <bookViews>
    <workbookView xWindow="-108" yWindow="-108" windowWidth="23256" windowHeight="12456" xr2:uid="{BE9FEF04-34FE-4531-A967-362D8279BD3A}"/>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91029"/>
  <pivotCaches>
    <pivotCache cacheId="22"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<sst xmlns="http://schemas.openxmlformats.org/spreadsheetml/2006/main" count="6575" uniqueCount="1584">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</sst>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[Data.xlsm]Pivot!pvtMonthly</c:name>
    <c:fmtId val="0"/>
  </c:pivotSource>
  <c:chart>
    <c:title>
      <c:tx>
        <c:rich>
          <a:bodyPr/>
          <a:lstStyle/>
          <a:p>
            <a:pPr>
              <a:defRPr sz="1100" b="1">
                <a:solidFill>
                  <a:srgbClr val="21040F"/>
                </a:solidFill>
                <a:latin typeface="Calibri"/>
                <a:ea typeface="Calibri"/>
                <a:cs typeface="Calibri"/>
              </a:defRPr>
            </a:pPr>
            <a:r>
              <a:rPr lang="en-IN"/>
              <a:t>Monthly Sales Trend</a:t>
            </a:r>
          </a:p>
        </c:rich>
      </c:tx>
      <c:overlay val="0"/>
    </c:title>
    <c:autoTitleDeleted val="0"/>
    <c:pivotFmts>
      <c:pivotFmt>
        <c:idx val="0"/>
        <c:spPr>
          <a:ln w="28575">
            <a:solidFill>
              <a:srgbClr val="2563EB"/>
            </a:solidFill>
          </a:ln>
        </c:spPr>
        <c:marker>
          <c:symbol val="circle"/>
          <c:size val="4"/>
          <c:spPr>
            <a:solidFill>
              <a:srgbClr val="FFFFFF"/>
            </a:solidFill>
            <a:ln w="28575">
              <a:solidFill>
                <a:srgbClr val="2563EB"/>
              </a:solidFill>
              <a:prstDash val="solid"/>
            </a:ln>
          </c:spPr>
        </c:marker>
        <c:dLbl>
          <c:idx val="0"/>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a:solidFill>
              <a:srgbClr val="DC2626"/>
            </a:solidFill>
            <a:prstDash val="dash"/>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8575">
                <a:solidFill>
                  <a:srgbClr val="2563EB"/>
                </a:solidFill>
                <a:prstDash val="solid"/>
              </a:ln>
            </c:spPr>
          </c:marker>
          <c:dLbls>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Pivot!$B$3:$B$15</c:f>
              <c:numCache>
                <c:formatCode>#,##0</c:formatCode>
                <c:ptCount val="12"/>
                <c:pt idx="0">
                  <c:v>9493746</c:v>
                </c:pt>
                <c:pt idx="1">
                  <c:v>7469619</c:v>
                </c:pt>
                <c:pt idx="2">
                  <c:v>8819336</c:v>
                </c:pt>
                <c:pt idx="3">
                  <c:v>8476507</c:v>
                </c:pt>
                <c:pt idx="4">
                  <c:v>6649707</c:v>
                </c:pt>
                <c:pt idx="5">
                  <c:v>5093440</c:v>
                </c:pt>
                <c:pt idx="6">
                  <c:v>3925481</c:v>
                </c:pt>
                <c:pt idx="7">
                  <c:v>3595391</c:v>
                </c:pt>
                <c:pt idx="8">
                  <c:v>4710433</c:v>
                </c:pt>
                <c:pt idx="9">
                  <c:v>4845693</c:v>
                </c:pt>
                <c:pt idx="10">
                  <c:v>3461741</c:v>
                </c:pt>
                <c:pt idx="11">
                  <c:v>4637570</c:v>
                </c:pt>
              </c:numCache>
            </c:numRef>
          </c:val>
          <c:smooth val="0"/>
          <c:extLst>
            <c:ext xmlns:c16="http://schemas.microsoft.com/office/drawing/2014/chart" uri="{C3380CC4-5D6E-409C-BE32-E72D297353CC}">
              <c16:uniqueId val="{00000000-12BC-432B-B641-BFF283B3CC16}"/>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Pivot!$C$3:$C$15</c:f>
              <c:numCache>
                <c:formatCode>#,##0</c:formatCode>
                <c:ptCount val="12"/>
                <c:pt idx="0">
                  <c:v>4999321</c:v>
                </c:pt>
                <c:pt idx="1">
                  <c:v>4330573</c:v>
                </c:pt>
                <c:pt idx="2">
                  <c:v>5403755</c:v>
                </c:pt>
                <c:pt idx="3">
                  <c:v>5634820</c:v>
                </c:pt>
                <c:pt idx="4">
                  <c:v>4104414</c:v>
                </c:pt>
                <c:pt idx="5">
                  <c:v>2367743</c:v>
                </c:pt>
                <c:pt idx="6">
                  <c:v>2619776</c:v>
                </c:pt>
                <c:pt idx="7">
                  <c:v>2679841</c:v>
                </c:pt>
                <c:pt idx="8">
                  <c:v>2617244</c:v>
                </c:pt>
                <c:pt idx="9">
                  <c:v>2152060</c:v>
                </c:pt>
                <c:pt idx="10">
                  <c:v>2683220</c:v>
                </c:pt>
                <c:pt idx="11">
                  <c:v>2100562</c:v>
                </c:pt>
              </c:numCache>
            </c:numRef>
          </c:val>
          <c:smooth val="0"/>
          <c:extLst>
            <c:ext xmlns:c16="http://schemas.microsoft.com/office/drawing/2014/chart" uri="{C3380CC4-5D6E-409C-BE32-E72D297353CC}">
              <c16:uniqueId val="{00000001-12BC-432B-B641-BFF283B3CC16}"/>
            </c:ext>
          </c:extLst>
        </c:ser>
        <c:dLbls>
          <c:showLegendKey val="0"/>
          <c:showVal val="0"/>
          <c:showCatName val="0"/>
          <c:showSerName val="0"/>
          <c:showPercent val="0"/>
          <c:showBubbleSize val="0"/>
        </c:dLbls>
        <c:marker val="1"/>
        <c:smooth val="0"/>
        <c:axId val="1929904575"/>
        <c:axId val="1929903327"/>
      </c:lineChart>
      <c:catAx>
        <c:axId val="1929904575"/>
        <c:scaling>
          <c:orientation val="minMax"/>
        </c:scaling>
        <c:delete val="0"/>
        <c:axPos val="b"/>
        <c:numFmt formatCode="General" sourceLinked="1"/>
        <c:majorTickMark val="out"/>
        <c:minorTickMark val="none"/>
        <c:tickLblPos val="nextTo"/>
        <c:crossAx val="1929903327"/>
        <c:crosses val="autoZero"/>
        <c:auto val="1"/>
        <c:lblAlgn val="ctr"/>
        <c:lblOffset val="100"/>
        <c:noMultiLvlLbl val="0"/>
      </c:catAx>
      <c:valAx>
        <c:axId val="1929903327"/>
        <c:scaling>
          <c:orientation val="minMax"/>
        </c:scaling>
        <c:delete val="0"/>
        <c:axPos val="l"/>
        <c:majorGridlines>
          <c:spPr>
            <a:ln>
              <a:solidFill>
                <a:srgbClr val="E6EAF2"/>
              </a:solidFill>
            </a:ln>
          </c:spPr>
        </c:majorGridlines>
        <c:numFmt formatCode="#,##0" sourceLinked="1"/>
        <c:majorTickMark val="out"/>
        <c:minorTickMark val="none"/>
        <c:tickLblPos val="nextTo"/>
        <c:crossAx val="1929904575"/>
        <c:crosses val="autoZero"/>
        <c:crossBetween val="between"/>
      </c:valAx>
      <c:spPr>
        <a:solidFill>
          <a:srgbClr val="FAFCFF"/>
        </a:solidFill>
      </c:spPr>
    </c:plotArea>
    <c:legend>
      <c:legendPos val="b"/>
      <c:overlay val="0"/>
      <c:txPr>
        <a:bodyPr/>
        <a:lstStyle/>
        <a:p>
          <a:pPr>
            <a:defRPr sz="8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[Data.xlsm]Pivot!pvtRegion</c:name>
    <c:fmtId val="0"/>
  </c:pivotSource>
  <c:chart>
    <c:title>
      <c:tx>
        <c:rich>
          <a:bodyPr/>
          <a:lstStyle/>
          <a:p>
            <a:pPr>
              <a:defRPr sz="1100" b="1">
                <a:solidFill>
                  <a:srgbClr val="21040F"/>
                </a:solidFill>
                <a:latin typeface="Calibri"/>
                <a:ea typeface="Calibri"/>
                <a:cs typeface="Calibri"/>
              </a:defRPr>
            </a:pPr>
            <a:r>
              <a:rPr lang="en-IN"/>
              <a:t>Sales by Region</a:t>
            </a:r>
          </a:p>
        </c:rich>
      </c:tx>
      <c:overlay val="0"/>
    </c:title>
    <c:autoTitleDeleted val="0"/>
    <c:pivotFmts>
      <c:pivotFmt>
        <c:idx val="0"/>
        <c:spPr>
          <a:solidFill>
            <a:srgbClr val="2563E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Pivot!$A$21:$A$25</c:f>
              <c:strCache>
                <c:ptCount val="4"/>
                <c:pt idx="0">
                  <c:v>East</c:v>
                </c:pt>
                <c:pt idx="1">
                  <c:v>North</c:v>
                </c:pt>
                <c:pt idx="2">
                  <c:v>South</c:v>
                </c:pt>
                <c:pt idx="3">
                  <c:v>West</c:v>
                </c:pt>
              </c:strCache>
            </c:strRef>
          </c:cat>
          <c:val>
            <c:numRef>
              <c:f>Pivot!$B$21:$B$25</c:f>
              <c:numCache>
                <c:formatCode>#,##0</c:formatCode>
                <c:ptCount val="4"/>
                <c:pt idx="0">
                  <c:v>18668414</c:v>
                </c:pt>
                <c:pt idx="1">
                  <c:v>17711065</c:v>
                </c:pt>
                <c:pt idx="2">
                  <c:v>17726570</c:v>
                </c:pt>
                <c:pt idx="3">
                  <c:v>17072615</c:v>
                </c:pt>
              </c:numCache>
            </c:numRef>
          </c:val>
          <c:extLst>
            <c:ext xmlns:c16="http://schemas.microsoft.com/office/drawing/2014/chart" uri="{C3380CC4-5D6E-409C-BE32-E72D297353CC}">
              <c16:uniqueId val="{00000000-EF0F-4245-A3C0-69810ACDA39D}"/>
            </c:ext>
          </c:extLst>
        </c:ser>
        <c:dLbls>
          <c:showLegendKey val="0"/>
          <c:showVal val="0"/>
          <c:showCatName val="0"/>
          <c:showSerName val="0"/>
          <c:showPercent val="0"/>
          <c:showBubbleSize val="0"/>
        </c:dLbls>
        <c:gapWidth val="150"/>
        <c:axId val="1930503727"/>
        <c:axId val="1930504559"/>
      </c:barChart>
      <c:catAx>
        <c:axId val="1930503727"/>
        <c:scaling>
          <c:orientation val="minMax"/>
        </c:scaling>
        <c:delete val="0"/>
        <c:axPos val="b"/>
        <c:numFmt formatCode="General" sourceLinked="1"/>
        <c:majorTickMark val="out"/>
        <c:minorTickMark val="none"/>
        <c:tickLblPos val="nextTo"/>
        <c:crossAx val="1930504559"/>
        <c:crosses val="autoZero"/>
        <c:auto val="1"/>
        <c:lblAlgn val="ctr"/>
        <c:lblOffset val="100"/>
        <c:noMultiLvlLbl val="0"/>
      </c:catAx>
      <c:valAx>
        <c:axId val="1930504559"/>
        <c:scaling>
          <c:orientation val="minMax"/>
        </c:scaling>
        <c:delete val="0"/>
        <c:axPos val="l"/>
        <c:majorGridlines>
          <c:spPr>
            <a:ln>
              <a:solidFill>
                <a:srgbClr val="E6EAF2"/>
              </a:solidFill>
            </a:ln>
          </c:spPr>
        </c:majorGridlines>
        <c:numFmt formatCode="#,##0" sourceLinked="1"/>
        <c:majorTickMark val="out"/>
        <c:minorTickMark val="none"/>
        <c:tickLblPos val="nextTo"/>
        <c:crossAx val="1930503727"/>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[Data.xlsm]Pivot!pvtManager</c:name>
    <c:fmtId val="0"/>
  </c:pivotSource>
  <c:chart>
    <c:title>
      <c:tx>
        <c:rich>
          <a:bodyPr/>
          <a:lstStyle/>
          <a:p>
            <a:pPr>
              <a:defRPr sz="1100" b="1">
                <a:solidFill>
                  <a:srgbClr val="21040F"/>
                </a:solidFill>
                <a:latin typeface="Calibri"/>
                <a:ea typeface="Calibri"/>
                <a:cs typeface="Calibri"/>
              </a:defRPr>
            </a:pPr>
            <a:r>
              <a:rPr lang="en-IN"/>
              <a:t>Sales by Manager</a:t>
            </a:r>
          </a:p>
        </c:rich>
      </c:tx>
      <c:overlay val="0"/>
    </c:title>
    <c:autoTitleDeleted val="0"/>
    <c:pivotFmts>
      <c:pivotFmt>
        <c:idx val="0"/>
        <c:spPr>
          <a:solidFill>
            <a:srgbClr val="059669"/>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Pivot!$A$36:$A$44</c:f>
              <c:strCache>
                <c:ptCount val="8"/>
                <c:pt idx="0">
                  <c:v>Manager_1</c:v>
                </c:pt>
                <c:pt idx="1">
                  <c:v>Manager_2</c:v>
                </c:pt>
                <c:pt idx="2">
                  <c:v>Manager_3</c:v>
                </c:pt>
                <c:pt idx="3">
                  <c:v>Manager_4</c:v>
                </c:pt>
                <c:pt idx="4">
                  <c:v>Manager_5</c:v>
                </c:pt>
                <c:pt idx="5">
                  <c:v>Manager_6</c:v>
                </c:pt>
                <c:pt idx="6">
                  <c:v>Manager_7</c:v>
                </c:pt>
                <c:pt idx="7">
                  <c:v>Manager_8</c:v>
                </c:pt>
              </c:strCache>
            </c:strRef>
          </c:cat>
          <c:val>
            <c:numRef>
              <c:f>Pivot!$B$36:$B$44</c:f>
              <c:numCache>
                <c:formatCode>#,##0</c:formatCode>
                <c:ptCount val="8"/>
                <c:pt idx="0">
                  <c:v>10984676</c:v>
                </c:pt>
                <c:pt idx="1">
                  <c:v>10081357</c:v>
                </c:pt>
                <c:pt idx="2">
                  <c:v>7783994</c:v>
                </c:pt>
                <c:pt idx="3">
                  <c:v>7270437</c:v>
                </c:pt>
                <c:pt idx="4">
                  <c:v>8886747</c:v>
                </c:pt>
                <c:pt idx="5">
                  <c:v>9535030</c:v>
                </c:pt>
                <c:pt idx="6">
                  <c:v>7397476</c:v>
                </c:pt>
                <c:pt idx="7">
                  <c:v>9238947</c:v>
                </c:pt>
              </c:numCache>
            </c:numRef>
          </c:val>
          <c:extLst>
            <c:ext xmlns:c16="http://schemas.microsoft.com/office/drawing/2014/chart" uri="{C3380CC4-5D6E-409C-BE32-E72D297353CC}">
              <c16:uniqueId val="{00000000-7D20-43DD-AA0A-79338696CA32}"/>
            </c:ext>
          </c:extLst>
        </c:ser>
        <c:dLbls>
          <c:showLegendKey val="0"/>
          <c:showVal val="0"/>
          <c:showCatName val="0"/>
          <c:showSerName val="0"/>
          <c:showPercent val="0"/>
          <c:showBubbleSize val="0"/>
        </c:dLbls>
        <c:gapWidth val="150"/>
        <c:axId val="1930504143"/>
        <c:axId val="1930504975"/>
      </c:barChart>
      <c:catAx>
        <c:axId val="1930504143"/>
        <c:scaling>
          <c:orientation val="minMax"/>
        </c:scaling>
        <c:delete val="0"/>
        <c:axPos val="l"/>
        <c:numFmt formatCode="General" sourceLinked="1"/>
        <c:majorTickMark val="out"/>
        <c:minorTickMark val="none"/>
        <c:tickLblPos val="nextTo"/>
        <c:crossAx val="1930504975"/>
        <c:crosses val="autoZero"/>
        <c:auto val="1"/>
        <c:lblAlgn val="ctr"/>
        <c:lblOffset val="100"/>
        <c:noMultiLvlLbl val="0"/>
      </c:catAx>
      <c:valAx>
        <c:axId val="1930504975"/>
        <c:scaling>
          <c:orientation val="minMax"/>
        </c:scaling>
        <c:delete val="0"/>
        <c:axPos val="b"/>
        <c:majorGridlines>
          <c:spPr>
            <a:ln>
              <a:solidFill>
                <a:srgbClr val="E6EAF2"/>
              </a:solidFill>
            </a:ln>
          </c:spPr>
        </c:majorGridlines>
        <c:numFmt formatCode="#,##0" sourceLinked="1"/>
        <c:majorTickMark val="out"/>
        <c:minorTickMark val="none"/>
        <c:tickLblPos val="nextTo"/>
        <c:crossAx val="1930504143"/>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[Data.xlsm]Pivot!pvtCategory</c:name>
    <c:fmtId val="0"/>
  </c:pivotSource>
  <c:chart>
    <c:title>
      <c:tx>
        <c:rich>
          <a:bodyPr/>
          <a:lstStyle/>
          <a:p>
            <a:pPr>
              <a:defRPr sz="1100" b="1">
                <a:solidFill>
                  <a:srgbClr val="21040F"/>
                </a:solidFill>
                <a:latin typeface="Calibri"/>
                <a:ea typeface="Calibri"/>
                <a:cs typeface="Calibri"/>
              </a:defRPr>
            </a:pPr>
            <a:r>
              <a:rPr lang="en-IN"/>
              <a:t>Category Contribution</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xMode val="edge"/>
          <c:yMode val="edge"/>
          <c:x val="1.5688032964633676E-2"/>
          <c:y val="0.24162772779129185"/>
          <c:w val="0.66416399238288382"/>
          <c:h val="0.75837227220870818"/>
        </c:manualLayout>
      </c:layout>
      <c:doughnutChart>
        <c:varyColors val="1"/>
        <c:ser>
          <c:idx val="0"/>
          <c:order val="0"/>
          <c:tx>
            <c:strRef>
              <c:f>Pivot!$G$2</c:f>
              <c:strCache>
                <c:ptCount val="1"/>
                <c:pt idx="0">
                  <c:v>Total</c:v>
                </c:pt>
              </c:strCache>
            </c:strRef>
          </c:tx>
          <c:dPt>
            <c:idx val="0"/>
            <c:bubble3D val="0"/>
            <c:spPr>
              <a:solidFill>
                <a:srgbClr val="2563EB"/>
              </a:solidFill>
            </c:spPr>
            <c:extLst>
              <c:ext xmlns:c16="http://schemas.microsoft.com/office/drawing/2014/chart" uri="{C3380CC4-5D6E-409C-BE32-E72D297353CC}">
                <c16:uniqueId val="{00000001-01E8-4979-9ED9-36AD44E3483C}"/>
              </c:ext>
            </c:extLst>
          </c:dPt>
          <c:dPt>
            <c:idx val="1"/>
            <c:bubble3D val="0"/>
            <c:spPr>
              <a:solidFill>
                <a:srgbClr val="059669"/>
              </a:solidFill>
            </c:spPr>
            <c:extLst>
              <c:ext xmlns:c16="http://schemas.microsoft.com/office/drawing/2014/chart" uri="{C3380CC4-5D6E-409C-BE32-E72D297353CC}">
                <c16:uniqueId val="{00000002-01E8-4979-9ED9-36AD44E3483C}"/>
              </c:ext>
            </c:extLst>
          </c:dPt>
          <c:dPt>
            <c:idx val="2"/>
            <c:bubble3D val="0"/>
            <c:spPr>
              <a:solidFill>
                <a:srgbClr val="F59E0B"/>
              </a:solidFill>
            </c:spPr>
            <c:extLst>
              <c:ext xmlns:c16="http://schemas.microsoft.com/office/drawing/2014/chart" uri="{C3380CC4-5D6E-409C-BE32-E72D297353CC}">
                <c16:uniqueId val="{00000003-01E8-4979-9ED9-36AD44E3483C}"/>
              </c:ext>
            </c:extLst>
          </c:dPt>
          <c:dPt>
            <c:idx val="3"/>
            <c:bubble3D val="0"/>
            <c:spPr>
              <a:solidFill>
                <a:srgbClr val="DC2626"/>
              </a:solidFill>
            </c:spPr>
            <c:extLst>
              <c:ext xmlns:c16="http://schemas.microsoft.com/office/drawing/2014/chart" uri="{C3380CC4-5D6E-409C-BE32-E72D297353CC}">
                <c16:uniqueId val="{00000004-01E8-4979-9ED9-36AD44E3483C}"/>
              </c:ext>
            </c:extLst>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Pivot!$F$3:$F$7</c:f>
              <c:strCache>
                <c:ptCount val="4"/>
                <c:pt idx="0">
                  <c:v>Accessories</c:v>
                </c:pt>
                <c:pt idx="1">
                  <c:v>Clothing</c:v>
                </c:pt>
                <c:pt idx="2">
                  <c:v>Electronics</c:v>
                </c:pt>
                <c:pt idx="3">
                  <c:v>Furniture</c:v>
                </c:pt>
              </c:strCache>
            </c:strRef>
          </c:cat>
          <c:val>
            <c:numRef>
              <c:f>Pivot!$G$3:$G$7</c:f>
              <c:numCache>
                <c:formatCode>#,##0</c:formatCode>
                <c:ptCount val="4"/>
                <c:pt idx="0">
                  <c:v>18170756</c:v>
                </c:pt>
                <c:pt idx="1">
                  <c:v>16923957</c:v>
                </c:pt>
                <c:pt idx="2">
                  <c:v>20510561</c:v>
                </c:pt>
                <c:pt idx="3">
                  <c:v>15573390</c:v>
                </c:pt>
              </c:numCache>
            </c:numRef>
          </c:val>
          <c:extLst>
            <c:ext xmlns:c16="http://schemas.microsoft.com/office/drawing/2014/chart" uri="{C3380CC4-5D6E-409C-BE32-E72D297353CC}">
              <c16:uniqueId val="{00000000-01E8-4979-9ED9-36AD44E3483C}"/>
            </c:ext>
          </c:extLst>
        </c:ser>
        <c:dLbls>
          <c:showLegendKey val="0"/>
          <c:showVal val="0"/>
          <c:showCatName val="0"/>
          <c:showSerName val="0"/>
          <c:showPercent val="0"/>
          <c:showBubbleSize val="0"/>
          <c:showLeaderLines val="0"/>
        </c:dLbls>
        <c:firstSliceAng val="0"/>
        <c:holeSize val="50"/>
      </c:doughnutChart>
      <c:spPr>
        <a:solidFill>
          <a:srgbClr val="FFFFFF"/>
        </a:solidFill>
      </c:spPr>
    </c:plotArea>
    <c:legend>
      <c:legendPos val="r"/>
      <c:overlay val="0"/>
      <c:txPr>
        <a:bodyPr/>
        <a:lstStyle/>
        <a:p>
          <a:pPr>
            <a:defRPr sz="9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[Data.xlsm]Pivot!pvtTopProducts</c:name>
    <c:fmtId val="0"/>
  </c:pivotSource>
  <c:chart>
    <c:title>
      <c:tx>
        <c:rich>
          <a:bodyPr/>
          <a:lstStyle/>
          <a:p>
            <a:pPr>
              <a:defRPr sz="1100" b="1">
                <a:solidFill>
                  <a:srgbClr val="21040F"/>
                </a:solidFill>
                <a:latin typeface="Calibri"/>
                <a:ea typeface="Calibri"/>
                <a:cs typeface="Calibri"/>
              </a:defRPr>
            </a:pPr>
            <a:r>
              <a:rPr lang="en-IN"/>
              <a:t>Top 10 Products by Sales</a:t>
            </a:r>
          </a:p>
        </c:rich>
      </c:tx>
      <c:overlay val="0"/>
    </c:title>
    <c:autoTitleDeleted val="0"/>
    <c:pivotFmts>
      <c:pivotFmt>
        <c:idx val="0"/>
        <c:spPr>
          <a:solidFill>
            <a:srgbClr val="F59E0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Pivot!$F$36:$F$44</c:f>
              <c:strCache>
                <c:ptCount val="8"/>
                <c:pt idx="0">
                  <c:v>Chair</c:v>
                </c:pt>
                <c:pt idx="1">
                  <c:v>Headphones</c:v>
                </c:pt>
                <c:pt idx="2">
                  <c:v>Laptop</c:v>
                </c:pt>
                <c:pt idx="3">
                  <c:v>Phone</c:v>
                </c:pt>
                <c:pt idx="4">
                  <c:v>Shirt</c:v>
                </c:pt>
                <c:pt idx="5">
                  <c:v>Shoes</c:v>
                </c:pt>
                <c:pt idx="6">
                  <c:v>Table</c:v>
                </c:pt>
                <c:pt idx="7">
                  <c:v>Watch</c:v>
                </c:pt>
              </c:strCache>
            </c:strRef>
          </c:cat>
          <c:val>
            <c:numRef>
              <c:f>Pivot!$G$36:$G$44</c:f>
              <c:numCache>
                <c:formatCode>#,##0</c:formatCode>
                <c:ptCount val="8"/>
                <c:pt idx="0">
                  <c:v>8039395</c:v>
                </c:pt>
                <c:pt idx="1">
                  <c:v>10370889</c:v>
                </c:pt>
                <c:pt idx="2">
                  <c:v>10094895</c:v>
                </c:pt>
                <c:pt idx="3">
                  <c:v>9768248</c:v>
                </c:pt>
                <c:pt idx="4">
                  <c:v>10289900</c:v>
                </c:pt>
                <c:pt idx="5">
                  <c:v>8487481</c:v>
                </c:pt>
                <c:pt idx="6">
                  <c:v>8442177</c:v>
                </c:pt>
                <c:pt idx="7">
                  <c:v>5685679</c:v>
                </c:pt>
              </c:numCache>
            </c:numRef>
          </c:val>
          <c:extLst>
            <c:ext xmlns:c16="http://schemas.microsoft.com/office/drawing/2014/chart" uri="{C3380CC4-5D6E-409C-BE32-E72D297353CC}">
              <c16:uniqueId val="{00000000-85D9-4EB8-9113-0FE7C67F850E}"/>
            </c:ext>
          </c:extLst>
        </c:ser>
        <c:dLbls>
          <c:showLegendKey val="0"/>
          <c:showVal val="0"/>
          <c:showCatName val="0"/>
          <c:showSerName val="0"/>
          <c:showPercent val="0"/>
          <c:showBubbleSize val="0"/>
        </c:dLbls>
        <c:gapWidth val="150"/>
        <c:axId val="1834979935"/>
        <c:axId val="1577798687"/>
      </c:barChart>
      <c:catAx>
        <c:axId val="1834979935"/>
        <c:scaling>
          <c:orientation val="minMax"/>
        </c:scaling>
        <c:delete val="0"/>
        <c:axPos val="b"/>
        <c:numFmt formatCode="General" sourceLinked="1"/>
        <c:majorTickMark val="out"/>
        <c:minorTickMark val="none"/>
        <c:tickLblPos val="low"/>
        <c:txPr>
          <a:bodyPr rot="-2700000" vert="horz"/>
          <a:lstStyle/>
          <a:p>
            <a:pPr>
              <a:defRPr/>
            </a:pPr>
            <a:endParaRPr lang="en-US"/>
          </a:p>
        </c:txPr>
        <c:crossAx val="1577798687"/>
        <c:crosses val="autoZero"/>
        <c:auto val="1"/>
        <c:lblAlgn val="ctr"/>
        <c:lblOffset val="100"/>
        <c:noMultiLvlLbl val="0"/>
      </c:catAx>
      <c:valAx>
        <c:axId val="1577798687"/>
        <c:scaling>
          <c:orientation val="minMax"/>
        </c:scaling>
        <c:delete val="0"/>
        <c:axPos val="l"/>
        <c:majorGridlines>
          <c:spPr>
            <a:ln>
              <a:solidFill>
                <a:srgbClr val="E6EAF2"/>
              </a:solidFill>
            </a:ln>
          </c:spPr>
        </c:majorGridlines>
        <c:numFmt formatCode="#,##0" sourceLinked="1"/>
        <c:majorTickMark val="out"/>
        <c:minorTickMark val="none"/>
        <c:tickLblPos val="nextTo"/>
        <c:crossAx val="1834979935"/>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0</xdr:colOff>
      <xdr:row>3</xdr:row>
      <xdr:rowOff>0</xdr:rowOff>
    </xdr:from>
    <xdr:to>
      <xdr:col>22</xdr:col>
      <xdr:colOff>0</xdr:colOff>
      <xdr:row>40</xdr:row>
      <xdr:rowOff>0</xdr:rowOff>
    </xdr:to>
    <xdr:sp macro="" textlink="">
      <xdr:nvSpPr>
        <xdr:cNvPr id="28" name="SlicerPanel_BG">
          <a:extLst>
            <a:ext uri="{FF2B5EF4-FFF2-40B4-BE49-F238E27FC236}">
              <a16:creationId xmlns:a16="http://schemas.microsoft.com/office/drawing/2014/main" id="{D215DAF9-372C-4528-A97C-F6ACB1875983}"/>
            </a:ext>
          </a:extLst>
        </xdr:cNvPr>
        <xdr:cNvSpPr/>
      </xdr:nvSpPr>
      <xdr:spPr>
        <a:xfrm>
          <a:off x="12283440" y="502920"/>
          <a:ext cx="2034540" cy="6035040"/>
        </a:xfrm>
        <a:prstGeom prst="rect">
          <a:avLst/>
        </a:prstGeom>
        <a:solidFill>
          <a:srgbClr val="FFFFFF"/>
        </a:solidFill>
        <a:ln w="9525">
          <a:solidFill>
            <a:srgbClr val="D2DAE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22</xdr:col>
      <xdr:colOff>0</xdr:colOff>
      <xdr:row>3</xdr:row>
      <xdr:rowOff>0</xdr:rowOff>
    </xdr:to>
    <xdr:sp macro="" textlink="">
      <xdr:nvSpPr>
        <xdr:cNvPr id="2" name="HeaderBanner">
          <a:extLst>
            <a:ext uri="{FF2B5EF4-FFF2-40B4-BE49-F238E27FC236}">
              <a16:creationId xmlns:a16="http://schemas.microsoft.com/office/drawing/2014/main" id="{7C48A80D-1503-4DBF-9FBB-C4F767161BD2}"/>
            </a:ext>
          </a:extLst>
        </xdr:cNvPr>
        <xdr:cNvSpPr/>
      </xdr:nvSpPr>
      <xdr:spPr>
        <a:xfrm>
          <a:off x="0" y="0"/>
          <a:ext cx="14317980" cy="502920"/>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353060</xdr:colOff>
      <xdr:row>9</xdr:row>
      <xdr:rowOff>124460</xdr:rowOff>
    </xdr:to>
    <xdr:sp macro="" textlink="">
      <xdr:nvSpPr>
        <xdr:cNvPr id="3" name="KPI_Card_0">
          <a:extLst>
            <a:ext uri="{FF2B5EF4-FFF2-40B4-BE49-F238E27FC236}">
              <a16:creationId xmlns:a16="http://schemas.microsoft.com/office/drawing/2014/main" id="{D7C4DC89-2C3F-41CE-B497-C9BE8085D5D6}"/>
            </a:ext>
          </a:extLst>
        </xdr:cNvPr>
        <xdr:cNvSpPr/>
      </xdr:nvSpPr>
      <xdr:spPr>
        <a:xfrm>
          <a:off x="635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63500</xdr:colOff>
      <xdr:row>3</xdr:row>
      <xdr:rowOff>50800</xdr:rowOff>
    </xdr:from>
    <xdr:to>
      <xdr:col>3</xdr:col>
      <xdr:colOff>353060</xdr:colOff>
      <xdr:row>4</xdr:row>
      <xdr:rowOff>35560</xdr:rowOff>
    </xdr:to>
    <xdr:sp macro="" textlink="">
      <xdr:nvSpPr>
        <xdr:cNvPr id="4" name="KPI_Accent_0">
          <a:extLst>
            <a:ext uri="{FF2B5EF4-FFF2-40B4-BE49-F238E27FC236}">
              <a16:creationId xmlns:a16="http://schemas.microsoft.com/office/drawing/2014/main" id="{BB454B1C-E119-450A-891A-9DDD79A90ADE}"/>
            </a:ext>
          </a:extLst>
        </xdr:cNvPr>
        <xdr:cNvSpPr/>
      </xdr:nvSpPr>
      <xdr:spPr>
        <a:xfrm>
          <a:off x="63500" y="553720"/>
          <a:ext cx="23241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4</xdr:row>
      <xdr:rowOff>99060</xdr:rowOff>
    </xdr:from>
    <xdr:to>
      <xdr:col>3</xdr:col>
      <xdr:colOff>276860</xdr:colOff>
      <xdr:row>6</xdr:row>
      <xdr:rowOff>43180</xdr:rowOff>
    </xdr:to>
    <xdr:sp macro="" textlink="">
      <xdr:nvSpPr>
        <xdr:cNvPr id="5" name="KPI_Title_0">
          <a:extLst>
            <a:ext uri="{FF2B5EF4-FFF2-40B4-BE49-F238E27FC236}">
              <a16:creationId xmlns:a16="http://schemas.microsoft.com/office/drawing/2014/main" id="{9988EE5B-0413-4F63-B981-180FAC725361}"/>
            </a:ext>
          </a:extLst>
        </xdr:cNvPr>
        <xdr:cNvSpPr txBox="1"/>
      </xdr:nvSpPr>
      <xdr:spPr>
        <a:xfrm>
          <a:off x="1397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81280</xdr:rowOff>
    </xdr:from>
    <xdr:to>
      <xdr:col>3</xdr:col>
      <xdr:colOff>302260</xdr:colOff>
      <xdr:row>9</xdr:row>
      <xdr:rowOff>86360</xdr:rowOff>
    </xdr:to>
    <xdr:sp macro="" textlink="Pivot!L5">
      <xdr:nvSpPr>
        <xdr:cNvPr id="6" name="KPI_Value_0">
          <a:extLst>
            <a:ext uri="{FF2B5EF4-FFF2-40B4-BE49-F238E27FC236}">
              <a16:creationId xmlns:a16="http://schemas.microsoft.com/office/drawing/2014/main" id="{6F103B4A-7F02-4CA6-8482-ED09BD070CEA}"/>
            </a:ext>
          </a:extLst>
        </xdr:cNvPr>
        <xdr:cNvSpPr txBox="1"/>
      </xdr:nvSpPr>
      <xdr:spPr>
        <a:xfrm>
          <a:off x="1143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AA35319-C6E3-4118-A762-49641DF6B496}" type="TxLink">
            <a:rPr lang="en-US" sz="2400" b="1" i="0" u="none" strike="noStrike">
              <a:solidFill>
                <a:srgbClr val="0F2041"/>
              </a:solidFill>
              <a:latin typeface="Calibri" panose="020F0502020204030204" pitchFamily="34" charset="0"/>
            </a:rPr>
            <a:pPr algn="ctr"/>
            <a:t>7,11,78,664</a:t>
          </a:fld>
          <a:endParaRPr lang="en-IN" sz="2400" b="1">
            <a:solidFill>
              <a:srgbClr val="0F2041"/>
            </a:solidFill>
            <a:latin typeface="Calibri" panose="020F0502020204030204" pitchFamily="34" charset="0"/>
          </a:endParaRPr>
        </a:p>
      </xdr:txBody>
    </xdr:sp>
    <xdr:clientData/>
  </xdr:twoCellAnchor>
  <xdr:twoCellAnchor>
    <xdr:from>
      <xdr:col>3</xdr:col>
      <xdr:colOff>454660</xdr:colOff>
      <xdr:row>3</xdr:row>
      <xdr:rowOff>50800</xdr:rowOff>
    </xdr:from>
    <xdr:to>
      <xdr:col>7</xdr:col>
      <xdr:colOff>66040</xdr:colOff>
      <xdr:row>9</xdr:row>
      <xdr:rowOff>124460</xdr:rowOff>
    </xdr:to>
    <xdr:sp macro="" textlink="">
      <xdr:nvSpPr>
        <xdr:cNvPr id="7" name="KPI_Card_1">
          <a:extLst>
            <a:ext uri="{FF2B5EF4-FFF2-40B4-BE49-F238E27FC236}">
              <a16:creationId xmlns:a16="http://schemas.microsoft.com/office/drawing/2014/main" id="{46880526-8C6A-4CA1-B131-0AEBB7CFD9D9}"/>
            </a:ext>
          </a:extLst>
        </xdr:cNvPr>
        <xdr:cNvSpPr/>
      </xdr:nvSpPr>
      <xdr:spPr>
        <a:xfrm>
          <a:off x="24892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454660</xdr:colOff>
      <xdr:row>3</xdr:row>
      <xdr:rowOff>50800</xdr:rowOff>
    </xdr:from>
    <xdr:to>
      <xdr:col>7</xdr:col>
      <xdr:colOff>66040</xdr:colOff>
      <xdr:row>4</xdr:row>
      <xdr:rowOff>35560</xdr:rowOff>
    </xdr:to>
    <xdr:sp macro="" textlink="">
      <xdr:nvSpPr>
        <xdr:cNvPr id="8" name="KPI_Accent_1">
          <a:extLst>
            <a:ext uri="{FF2B5EF4-FFF2-40B4-BE49-F238E27FC236}">
              <a16:creationId xmlns:a16="http://schemas.microsoft.com/office/drawing/2014/main" id="{1D0065F6-9CC2-4D1E-B5F9-B1DBE598CF6D}"/>
            </a:ext>
          </a:extLst>
        </xdr:cNvPr>
        <xdr:cNvSpPr/>
      </xdr:nvSpPr>
      <xdr:spPr>
        <a:xfrm>
          <a:off x="2489200" y="553720"/>
          <a:ext cx="23241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530860</xdr:colOff>
      <xdr:row>4</xdr:row>
      <xdr:rowOff>99060</xdr:rowOff>
    </xdr:from>
    <xdr:to>
      <xdr:col>6</xdr:col>
      <xdr:colOff>668020</xdr:colOff>
      <xdr:row>6</xdr:row>
      <xdr:rowOff>43180</xdr:rowOff>
    </xdr:to>
    <xdr:sp macro="" textlink="">
      <xdr:nvSpPr>
        <xdr:cNvPr id="9" name="KPI_Title_1">
          <a:extLst>
            <a:ext uri="{FF2B5EF4-FFF2-40B4-BE49-F238E27FC236}">
              <a16:creationId xmlns:a16="http://schemas.microsoft.com/office/drawing/2014/main" id="{4100C715-420A-4115-B5A7-9539A86AA855}"/>
            </a:ext>
          </a:extLst>
        </xdr:cNvPr>
        <xdr:cNvSpPr txBox="1"/>
      </xdr:nvSpPr>
      <xdr:spPr>
        <a:xfrm>
          <a:off x="25654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Target</a:t>
          </a:r>
        </a:p>
      </xdr:txBody>
    </xdr:sp>
    <xdr:clientData/>
  </xdr:twoCellAnchor>
  <xdr:twoCellAnchor>
    <xdr:from>
      <xdr:col>3</xdr:col>
      <xdr:colOff>505460</xdr:colOff>
      <xdr:row>6</xdr:row>
      <xdr:rowOff>81280</xdr:rowOff>
    </xdr:from>
    <xdr:to>
      <xdr:col>7</xdr:col>
      <xdr:colOff>15240</xdr:colOff>
      <xdr:row>9</xdr:row>
      <xdr:rowOff>86360</xdr:rowOff>
    </xdr:to>
    <xdr:sp macro="" textlink="Pivot!L6">
      <xdr:nvSpPr>
        <xdr:cNvPr id="10" name="KPI_Value_1">
          <a:extLst>
            <a:ext uri="{FF2B5EF4-FFF2-40B4-BE49-F238E27FC236}">
              <a16:creationId xmlns:a16="http://schemas.microsoft.com/office/drawing/2014/main" id="{263C55A7-3C79-4549-978E-7BD8386D4C72}"/>
            </a:ext>
          </a:extLst>
        </xdr:cNvPr>
        <xdr:cNvSpPr txBox="1"/>
      </xdr:nvSpPr>
      <xdr:spPr>
        <a:xfrm>
          <a:off x="25400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C5A3B75-F75B-4E86-8894-D66E7AF0B4B0}" type="TxLink">
            <a:rPr lang="en-US" sz="2400" b="1" i="0" u="none" strike="noStrike">
              <a:solidFill>
                <a:srgbClr val="0F2041"/>
              </a:solidFill>
              <a:latin typeface="Calibri" panose="020F0502020204030204" pitchFamily="34" charset="0"/>
            </a:rPr>
            <a:pPr algn="ctr"/>
            <a:t>4,16,93,329</a:t>
          </a:fld>
          <a:endParaRPr lang="en-IN" sz="2400" b="1">
            <a:solidFill>
              <a:srgbClr val="0F2041"/>
            </a:solidFill>
            <a:latin typeface="Calibri" panose="020F0502020204030204" pitchFamily="34" charset="0"/>
          </a:endParaRPr>
        </a:p>
      </xdr:txBody>
    </xdr:sp>
    <xdr:clientData/>
  </xdr:twoCellAnchor>
  <xdr:twoCellAnchor>
    <xdr:from>
      <xdr:col>7</xdr:col>
      <xdr:colOff>167640</xdr:colOff>
      <xdr:row>3</xdr:row>
      <xdr:rowOff>50800</xdr:rowOff>
    </xdr:from>
    <xdr:to>
      <xdr:col>10</xdr:col>
      <xdr:colOff>457200</xdr:colOff>
      <xdr:row>9</xdr:row>
      <xdr:rowOff>124460</xdr:rowOff>
    </xdr:to>
    <xdr:sp macro="" textlink="">
      <xdr:nvSpPr>
        <xdr:cNvPr id="11" name="KPI_Card_2">
          <a:extLst>
            <a:ext uri="{FF2B5EF4-FFF2-40B4-BE49-F238E27FC236}">
              <a16:creationId xmlns:a16="http://schemas.microsoft.com/office/drawing/2014/main" id="{83EE15E9-2615-4D41-AB52-D4BD59D1B234}"/>
            </a:ext>
          </a:extLst>
        </xdr:cNvPr>
        <xdr:cNvSpPr/>
      </xdr:nvSpPr>
      <xdr:spPr>
        <a:xfrm>
          <a:off x="49149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167640</xdr:colOff>
      <xdr:row>3</xdr:row>
      <xdr:rowOff>50800</xdr:rowOff>
    </xdr:from>
    <xdr:to>
      <xdr:col>10</xdr:col>
      <xdr:colOff>457200</xdr:colOff>
      <xdr:row>4</xdr:row>
      <xdr:rowOff>35560</xdr:rowOff>
    </xdr:to>
    <xdr:sp macro="" textlink="">
      <xdr:nvSpPr>
        <xdr:cNvPr id="12" name="KPI_Accent_2">
          <a:extLst>
            <a:ext uri="{FF2B5EF4-FFF2-40B4-BE49-F238E27FC236}">
              <a16:creationId xmlns:a16="http://schemas.microsoft.com/office/drawing/2014/main" id="{87F80BEC-C1F0-4DF1-87C7-DA77F13D5322}"/>
            </a:ext>
          </a:extLst>
        </xdr:cNvPr>
        <xdr:cNvSpPr/>
      </xdr:nvSpPr>
      <xdr:spPr>
        <a:xfrm>
          <a:off x="4914900" y="553720"/>
          <a:ext cx="23241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243840</xdr:colOff>
      <xdr:row>4</xdr:row>
      <xdr:rowOff>99060</xdr:rowOff>
    </xdr:from>
    <xdr:to>
      <xdr:col>10</xdr:col>
      <xdr:colOff>381000</xdr:colOff>
      <xdr:row>6</xdr:row>
      <xdr:rowOff>43180</xdr:rowOff>
    </xdr:to>
    <xdr:sp macro="" textlink="">
      <xdr:nvSpPr>
        <xdr:cNvPr id="13" name="KPI_Title_2">
          <a:extLst>
            <a:ext uri="{FF2B5EF4-FFF2-40B4-BE49-F238E27FC236}">
              <a16:creationId xmlns:a16="http://schemas.microsoft.com/office/drawing/2014/main" id="{0BC604ED-6578-44B7-B70C-446FF920B427}"/>
            </a:ext>
          </a:extLst>
        </xdr:cNvPr>
        <xdr:cNvSpPr txBox="1"/>
      </xdr:nvSpPr>
      <xdr:spPr>
        <a:xfrm>
          <a:off x="49911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Orders</a:t>
          </a:r>
        </a:p>
      </xdr:txBody>
    </xdr:sp>
    <xdr:clientData/>
  </xdr:twoCellAnchor>
  <xdr:twoCellAnchor>
    <xdr:from>
      <xdr:col>7</xdr:col>
      <xdr:colOff>218440</xdr:colOff>
      <xdr:row>6</xdr:row>
      <xdr:rowOff>81280</xdr:rowOff>
    </xdr:from>
    <xdr:to>
      <xdr:col>10</xdr:col>
      <xdr:colOff>406400</xdr:colOff>
      <xdr:row>9</xdr:row>
      <xdr:rowOff>86360</xdr:rowOff>
    </xdr:to>
    <xdr:sp macro="" textlink="Pivot!L7">
      <xdr:nvSpPr>
        <xdr:cNvPr id="14" name="KPI_Value_2">
          <a:extLst>
            <a:ext uri="{FF2B5EF4-FFF2-40B4-BE49-F238E27FC236}">
              <a16:creationId xmlns:a16="http://schemas.microsoft.com/office/drawing/2014/main" id="{6C581EBC-CD19-48F2-A314-362B5361E125}"/>
            </a:ext>
          </a:extLst>
        </xdr:cNvPr>
        <xdr:cNvSpPr txBox="1"/>
      </xdr:nvSpPr>
      <xdr:spPr>
        <a:xfrm>
          <a:off x="49657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35C7543-E6C8-4CC3-87C4-B220EF7C3FC5}" type="TxLink">
            <a:rPr lang="en-US" sz="2400" b="1" i="0" u="none" strike="noStrike">
              <a:solidFill>
                <a:srgbClr val="0F2041"/>
              </a:solidFill>
              <a:latin typeface="Calibri" panose="020F0502020204030204" pitchFamily="34" charset="0"/>
            </a:rPr>
            <a:pPr algn="ctr"/>
            <a:t>500</a:t>
          </a:fld>
          <a:endParaRPr lang="en-IN" sz="2400" b="1">
            <a:solidFill>
              <a:srgbClr val="0F2041"/>
            </a:solidFill>
            <a:latin typeface="Calibri" panose="020F0502020204030204" pitchFamily="34" charset="0"/>
          </a:endParaRPr>
        </a:p>
      </xdr:txBody>
    </xdr:sp>
    <xdr:clientData/>
  </xdr:twoCellAnchor>
  <xdr:twoCellAnchor>
    <xdr:from>
      <xdr:col>10</xdr:col>
      <xdr:colOff>558800</xdr:colOff>
      <xdr:row>3</xdr:row>
      <xdr:rowOff>50800</xdr:rowOff>
    </xdr:from>
    <xdr:to>
      <xdr:col>14</xdr:col>
      <xdr:colOff>170180</xdr:colOff>
      <xdr:row>9</xdr:row>
      <xdr:rowOff>124460</xdr:rowOff>
    </xdr:to>
    <xdr:sp macro="" textlink="">
      <xdr:nvSpPr>
        <xdr:cNvPr id="15" name="KPI_Card_3">
          <a:extLst>
            <a:ext uri="{FF2B5EF4-FFF2-40B4-BE49-F238E27FC236}">
              <a16:creationId xmlns:a16="http://schemas.microsoft.com/office/drawing/2014/main" id="{A4F0AEB9-C4E4-4A4C-9606-16208AC124B4}"/>
            </a:ext>
          </a:extLst>
        </xdr:cNvPr>
        <xdr:cNvSpPr/>
      </xdr:nvSpPr>
      <xdr:spPr>
        <a:xfrm>
          <a:off x="73406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558800</xdr:colOff>
      <xdr:row>3</xdr:row>
      <xdr:rowOff>50800</xdr:rowOff>
    </xdr:from>
    <xdr:to>
      <xdr:col>14</xdr:col>
      <xdr:colOff>170180</xdr:colOff>
      <xdr:row>4</xdr:row>
      <xdr:rowOff>35560</xdr:rowOff>
    </xdr:to>
    <xdr:sp macro="" textlink="">
      <xdr:nvSpPr>
        <xdr:cNvPr id="16" name="KPI_Accent_3">
          <a:extLst>
            <a:ext uri="{FF2B5EF4-FFF2-40B4-BE49-F238E27FC236}">
              <a16:creationId xmlns:a16="http://schemas.microsoft.com/office/drawing/2014/main" id="{AE6520FA-7E59-4E5F-95DC-84FCF0070567}"/>
            </a:ext>
          </a:extLst>
        </xdr:cNvPr>
        <xdr:cNvSpPr/>
      </xdr:nvSpPr>
      <xdr:spPr>
        <a:xfrm>
          <a:off x="7340600" y="553720"/>
          <a:ext cx="23241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635000</xdr:colOff>
      <xdr:row>4</xdr:row>
      <xdr:rowOff>99060</xdr:rowOff>
    </xdr:from>
    <xdr:to>
      <xdr:col>14</xdr:col>
      <xdr:colOff>93980</xdr:colOff>
      <xdr:row>6</xdr:row>
      <xdr:rowOff>43180</xdr:rowOff>
    </xdr:to>
    <xdr:sp macro="" textlink="">
      <xdr:nvSpPr>
        <xdr:cNvPr id="17" name="KPI_Title_3">
          <a:extLst>
            <a:ext uri="{FF2B5EF4-FFF2-40B4-BE49-F238E27FC236}">
              <a16:creationId xmlns:a16="http://schemas.microsoft.com/office/drawing/2014/main" id="{C7E27BF8-5CC9-456E-8C04-B152E1CB1291}"/>
            </a:ext>
          </a:extLst>
        </xdr:cNvPr>
        <xdr:cNvSpPr txBox="1"/>
      </xdr:nvSpPr>
      <xdr:spPr>
        <a:xfrm>
          <a:off x="74168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Achievement %</a:t>
          </a:r>
        </a:p>
      </xdr:txBody>
    </xdr:sp>
    <xdr:clientData/>
  </xdr:twoCellAnchor>
  <xdr:twoCellAnchor>
    <xdr:from>
      <xdr:col>10</xdr:col>
      <xdr:colOff>609600</xdr:colOff>
      <xdr:row>6</xdr:row>
      <xdr:rowOff>81280</xdr:rowOff>
    </xdr:from>
    <xdr:to>
      <xdr:col>14</xdr:col>
      <xdr:colOff>119380</xdr:colOff>
      <xdr:row>9</xdr:row>
      <xdr:rowOff>86360</xdr:rowOff>
    </xdr:to>
    <xdr:sp macro="" textlink="Pivot!L8">
      <xdr:nvSpPr>
        <xdr:cNvPr id="18" name="KPI_Value_3">
          <a:extLst>
            <a:ext uri="{FF2B5EF4-FFF2-40B4-BE49-F238E27FC236}">
              <a16:creationId xmlns:a16="http://schemas.microsoft.com/office/drawing/2014/main" id="{E07F4411-3DC6-4B9A-9626-B3DE13C6EBCA}"/>
            </a:ext>
          </a:extLst>
        </xdr:cNvPr>
        <xdr:cNvSpPr txBox="1"/>
      </xdr:nvSpPr>
      <xdr:spPr>
        <a:xfrm>
          <a:off x="73914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8D2F2B9-D3D9-4EE1-8799-66A7308FF8B4}" type="TxLink">
            <a:rPr lang="en-US" sz="2400" b="1" i="0" u="none" strike="noStrike">
              <a:solidFill>
                <a:srgbClr val="0F2041"/>
              </a:solidFill>
              <a:latin typeface="Calibri" panose="020F0502020204030204" pitchFamily="34" charset="0"/>
            </a:rPr>
            <a:pPr algn="ctr"/>
            <a:t>170.72%</a:t>
          </a:fld>
          <a:endParaRPr lang="en-IN" sz="2400" b="1">
            <a:solidFill>
              <a:srgbClr val="0F2041"/>
            </a:solidFill>
            <a:latin typeface="Calibri" panose="020F0502020204030204" pitchFamily="34" charset="0"/>
          </a:endParaRPr>
        </a:p>
      </xdr:txBody>
    </xdr:sp>
    <xdr:clientData/>
  </xdr:twoCellAnchor>
  <xdr:twoCellAnchor>
    <xdr:from>
      <xdr:col>14</xdr:col>
      <xdr:colOff>271780</xdr:colOff>
      <xdr:row>3</xdr:row>
      <xdr:rowOff>50800</xdr:rowOff>
    </xdr:from>
    <xdr:to>
      <xdr:col>17</xdr:col>
      <xdr:colOff>561340</xdr:colOff>
      <xdr:row>9</xdr:row>
      <xdr:rowOff>124460</xdr:rowOff>
    </xdr:to>
    <xdr:sp macro="" textlink="">
      <xdr:nvSpPr>
        <xdr:cNvPr id="19" name="KPI_Card_4">
          <a:extLst>
            <a:ext uri="{FF2B5EF4-FFF2-40B4-BE49-F238E27FC236}">
              <a16:creationId xmlns:a16="http://schemas.microsoft.com/office/drawing/2014/main" id="{444C29A4-0C0C-4803-A5CC-FCE1394A509A}"/>
            </a:ext>
          </a:extLst>
        </xdr:cNvPr>
        <xdr:cNvSpPr/>
      </xdr:nvSpPr>
      <xdr:spPr>
        <a:xfrm>
          <a:off x="9766300" y="55372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271780</xdr:colOff>
      <xdr:row>3</xdr:row>
      <xdr:rowOff>50800</xdr:rowOff>
    </xdr:from>
    <xdr:to>
      <xdr:col>17</xdr:col>
      <xdr:colOff>561340</xdr:colOff>
      <xdr:row>4</xdr:row>
      <xdr:rowOff>35560</xdr:rowOff>
    </xdr:to>
    <xdr:sp macro="" textlink="">
      <xdr:nvSpPr>
        <xdr:cNvPr id="20" name="KPI_Accent_4">
          <a:extLst>
            <a:ext uri="{FF2B5EF4-FFF2-40B4-BE49-F238E27FC236}">
              <a16:creationId xmlns:a16="http://schemas.microsoft.com/office/drawing/2014/main" id="{8B3FF17D-499F-45EB-B530-12A13291B81B}"/>
            </a:ext>
          </a:extLst>
        </xdr:cNvPr>
        <xdr:cNvSpPr/>
      </xdr:nvSpPr>
      <xdr:spPr>
        <a:xfrm>
          <a:off x="9766300" y="553720"/>
          <a:ext cx="23241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347980</xdr:colOff>
      <xdr:row>4</xdr:row>
      <xdr:rowOff>99060</xdr:rowOff>
    </xdr:from>
    <xdr:to>
      <xdr:col>17</xdr:col>
      <xdr:colOff>485140</xdr:colOff>
      <xdr:row>6</xdr:row>
      <xdr:rowOff>43180</xdr:rowOff>
    </xdr:to>
    <xdr:sp macro="" textlink="">
      <xdr:nvSpPr>
        <xdr:cNvPr id="21" name="KPI_Title_4">
          <a:extLst>
            <a:ext uri="{FF2B5EF4-FFF2-40B4-BE49-F238E27FC236}">
              <a16:creationId xmlns:a16="http://schemas.microsoft.com/office/drawing/2014/main" id="{1E29F617-E561-4EB4-85AF-DF9836A10FD1}"/>
            </a:ext>
          </a:extLst>
        </xdr:cNvPr>
        <xdr:cNvSpPr txBox="1"/>
      </xdr:nvSpPr>
      <xdr:spPr>
        <a:xfrm>
          <a:off x="9842500" y="76962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Units Sold</a:t>
          </a:r>
        </a:p>
      </xdr:txBody>
    </xdr:sp>
    <xdr:clientData/>
  </xdr:twoCellAnchor>
  <xdr:twoCellAnchor>
    <xdr:from>
      <xdr:col>14</xdr:col>
      <xdr:colOff>322580</xdr:colOff>
      <xdr:row>6</xdr:row>
      <xdr:rowOff>81280</xdr:rowOff>
    </xdr:from>
    <xdr:to>
      <xdr:col>17</xdr:col>
      <xdr:colOff>510540</xdr:colOff>
      <xdr:row>9</xdr:row>
      <xdr:rowOff>86360</xdr:rowOff>
    </xdr:to>
    <xdr:sp macro="" textlink="Pivot!L9">
      <xdr:nvSpPr>
        <xdr:cNvPr id="22" name="KPI_Value_4">
          <a:extLst>
            <a:ext uri="{FF2B5EF4-FFF2-40B4-BE49-F238E27FC236}">
              <a16:creationId xmlns:a16="http://schemas.microsoft.com/office/drawing/2014/main" id="{07EA4F6E-D6AB-4FEB-946D-E2A85CDFC6ED}"/>
            </a:ext>
          </a:extLst>
        </xdr:cNvPr>
        <xdr:cNvSpPr txBox="1"/>
      </xdr:nvSpPr>
      <xdr:spPr>
        <a:xfrm>
          <a:off x="9817100" y="108712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D52ECE9-0954-4600-818A-7894F8B459C4}" type="TxLink">
            <a:rPr lang="en-US" sz="2400" b="1" i="0" u="none" strike="noStrike">
              <a:solidFill>
                <a:srgbClr val="0F2041"/>
              </a:solidFill>
              <a:latin typeface="Calibri" panose="020F0502020204030204" pitchFamily="34" charset="0"/>
            </a:rPr>
            <a:pPr algn="ctr"/>
            <a:t>2,716</a:t>
          </a:fld>
          <a:endParaRPr lang="en-IN"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452120</xdr:colOff>
      <xdr:row>25</xdr:row>
      <xdr:rowOff>129540</xdr:rowOff>
    </xdr:to>
    <xdr:graphicFrame macro="">
      <xdr:nvGraphicFramePr>
        <xdr:cNvPr id="23" name="chtMonthlyTrend">
          <a:extLst>
            <a:ext uri="{FF2B5EF4-FFF2-40B4-BE49-F238E27FC236}">
              <a16:creationId xmlns:a16="http://schemas.microsoft.com/office/drawing/2014/main" id="{DB12EB3E-3A26-4259-AFF3-C625926048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553720</xdr:colOff>
      <xdr:row>11</xdr:row>
      <xdr:rowOff>38100</xdr:rowOff>
    </xdr:from>
    <xdr:to>
      <xdr:col>11</xdr:col>
      <xdr:colOff>541020</xdr:colOff>
      <xdr:row>25</xdr:row>
      <xdr:rowOff>129540</xdr:rowOff>
    </xdr:to>
    <xdr:graphicFrame macro="">
      <xdr:nvGraphicFramePr>
        <xdr:cNvPr id="24" name="chtRegion">
          <a:extLst>
            <a:ext uri="{FF2B5EF4-FFF2-40B4-BE49-F238E27FC236}">
              <a16:creationId xmlns:a16="http://schemas.microsoft.com/office/drawing/2014/main" id="{6B1CDA52-22D3-4CAF-8750-F7430BF8E1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642620</xdr:colOff>
      <xdr:row>11</xdr:row>
      <xdr:rowOff>38100</xdr:rowOff>
    </xdr:from>
    <xdr:to>
      <xdr:col>17</xdr:col>
      <xdr:colOff>614680</xdr:colOff>
      <xdr:row>25</xdr:row>
      <xdr:rowOff>129540</xdr:rowOff>
    </xdr:to>
    <xdr:graphicFrame macro="">
      <xdr:nvGraphicFramePr>
        <xdr:cNvPr id="25" name="chtManager">
          <a:extLst>
            <a:ext uri="{FF2B5EF4-FFF2-40B4-BE49-F238E27FC236}">
              <a16:creationId xmlns:a16="http://schemas.microsoft.com/office/drawing/2014/main" id="{DD9FCCF5-352D-4043-839C-CE9FD35F8B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601980</xdr:colOff>
      <xdr:row>39</xdr:row>
      <xdr:rowOff>129540</xdr:rowOff>
    </xdr:to>
    <xdr:graphicFrame macro="">
      <xdr:nvGraphicFramePr>
        <xdr:cNvPr id="26" name="chtCategory">
          <a:extLst>
            <a:ext uri="{FF2B5EF4-FFF2-40B4-BE49-F238E27FC236}">
              <a16:creationId xmlns:a16="http://schemas.microsoft.com/office/drawing/2014/main" id="{79F564B9-67B3-42DE-986A-9ECCB48E1F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25400</xdr:colOff>
      <xdr:row>26</xdr:row>
      <xdr:rowOff>38100</xdr:rowOff>
    </xdr:from>
    <xdr:to>
      <xdr:col>17</xdr:col>
      <xdr:colOff>614680</xdr:colOff>
      <xdr:row>39</xdr:row>
      <xdr:rowOff>129540</xdr:rowOff>
    </xdr:to>
    <xdr:graphicFrame macro="">
      <xdr:nvGraphicFramePr>
        <xdr:cNvPr id="27" name="chtTopProducts">
          <a:extLst>
            <a:ext uri="{FF2B5EF4-FFF2-40B4-BE49-F238E27FC236}">
              <a16:creationId xmlns:a16="http://schemas.microsoft.com/office/drawing/2014/main" id="{D1525104-8201-457C-9A1C-644F62AF1C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50800</xdr:colOff>
      <xdr:row>3</xdr:row>
      <xdr:rowOff>50799</xdr:rowOff>
    </xdr:from>
    <xdr:to>
      <xdr:col>21</xdr:col>
      <xdr:colOff>627379</xdr:colOff>
      <xdr:row>11</xdr:row>
      <xdr:rowOff>20319</xdr:rowOff>
    </xdr:to>
    <mc:AlternateContent xmlns:mc="http://schemas.openxmlformats.org/markup-compatibility/2006">
      <mc:Choice xmlns:a14="http://schemas.microsoft.com/office/drawing/2010/main" Requires="a14">
        <xdr:graphicFrame macro="">
          <xdr:nvGraphicFramePr>
            <xdr:cNvPr id="29" name="slcRegion_visual">
              <a:extLst>
                <a:ext uri="{FF2B5EF4-FFF2-40B4-BE49-F238E27FC236}">
                  <a16:creationId xmlns:a16="http://schemas.microsoft.com/office/drawing/2014/main" id="{04D7C4BD-31CD-4285-B1BA-5C41A786C51D}"/>
                </a:ext>
              </a:extLst>
            </xdr:cNvPr>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dr:sp macro="" textlink="">
          <xdr:nvSpPr>
            <xdr:cNvPr id="0" name=""/>
            <xdr:cNvSpPr>
              <a:spLocks noTextEdit="1"/>
            </xdr:cNvSpPr>
          </xdr:nvSpPr>
          <xdr:spPr>
            <a:xfrm>
              <a:off x="12286095" y="544367"/>
              <a:ext cx="1927398" cy="1121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50800</xdr:colOff>
      <xdr:row>11</xdr:row>
      <xdr:rowOff>121920</xdr:rowOff>
    </xdr:from>
    <xdr:to>
      <xdr:col>21</xdr:col>
      <xdr:colOff>627379</xdr:colOff>
      <xdr:row>20</xdr:row>
      <xdr:rowOff>137160</xdr:rowOff>
    </xdr:to>
    <mc:AlternateContent xmlns:mc="http://schemas.openxmlformats.org/markup-compatibility/2006">
      <mc:Choice xmlns:a14="http://schemas.microsoft.com/office/drawing/2010/main" Requires="a14">
        <xdr:graphicFrame macro="">
          <xdr:nvGraphicFramePr>
            <xdr:cNvPr id="30" name="slcCategory_visual">
              <a:extLst>
                <a:ext uri="{FF2B5EF4-FFF2-40B4-BE49-F238E27FC236}">
                  <a16:creationId xmlns:a16="http://schemas.microsoft.com/office/drawing/2014/main" id="{BEF16A3E-CD3D-48C8-AEEF-A03051593463}"/>
                </a:ext>
              </a:extLst>
            </xdr:cNvPr>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dr:sp macro="" textlink="">
          <xdr:nvSpPr>
            <xdr:cNvPr id="0" name=""/>
            <xdr:cNvSpPr>
              <a:spLocks noTextEdit="1"/>
            </xdr:cNvSpPr>
          </xdr:nvSpPr>
          <xdr:spPr>
            <a:xfrm>
              <a:off x="12286095" y="1767147"/>
              <a:ext cx="1927398" cy="14959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50800</xdr:colOff>
      <xdr:row>21</xdr:row>
      <xdr:rowOff>71120</xdr:rowOff>
    </xdr:from>
    <xdr:to>
      <xdr:col>21</xdr:col>
      <xdr:colOff>627379</xdr:colOff>
      <xdr:row>40</xdr:row>
      <xdr:rowOff>60960</xdr:rowOff>
    </xdr:to>
    <mc:AlternateContent xmlns:mc="http://schemas.openxmlformats.org/markup-compatibility/2006">
      <mc:Choice xmlns:a14="http://schemas.microsoft.com/office/drawing/2010/main" Requires="a14">
        <xdr:graphicFrame macro="">
          <xdr:nvGraphicFramePr>
            <xdr:cNvPr id="31" name="slcMonth_visual">
              <a:extLst>
                <a:ext uri="{FF2B5EF4-FFF2-40B4-BE49-F238E27FC236}">
                  <a16:creationId xmlns:a16="http://schemas.microsoft.com/office/drawing/2014/main" id="{BF05DB72-828C-4D3C-80DB-3FC7E1A7C4D0}"/>
                </a:ext>
              </a:extLst>
            </xdr:cNvPr>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dr:sp macro="" textlink="">
          <xdr:nvSpPr>
            <xdr:cNvPr id="0" name=""/>
            <xdr:cNvSpPr>
              <a:spLocks noTextEdit="1"/>
            </xdr:cNvSpPr>
          </xdr:nvSpPr>
          <xdr:spPr>
            <a:xfrm>
              <a:off x="12286095" y="3361575"/>
              <a:ext cx="1927398" cy="31157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VICTUS" refreshedDate="46251.099176388889" createdVersion="3" refreshedVersion="7" minRefreshableVersion="3" recordCount="500" xr:uid="{18E2D7F9-DBCA-47F6-A089-493814BD278F}">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7040260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246FC3-70DC-42F8-BA49-4138E94B68A4}" name="PT_KPI" cacheId="22" dataOnRows="1" applyNumberFormats="0" applyBorderFormats="0" applyFontFormats="0" applyPatternFormats="0" applyAlignmentFormats="0" applyWidthHeightFormats="1" dataCaption="Values" updatedVersion="7" minRefreshableVersion="3" showCalcMbrs="0" useAutoFormatting="1" rowGrandTotals="0" colGrandTotals="0" itemPrintTitles="1" createdVersion="3" indent="0" showHeaders="0" compact="0" compactData="0" multipleFieldFilters="0">
  <location ref="K5:L9" firstHeaderRow="0" firstDataRow="0" firstDataCol="1"/>
  <pivotFields count="19">
    <pivotField compact="0" outline="0" showAll="0"/>
    <pivotField compact="0" outline="0" showAll="0">
      <items count="13">
        <item x="0"/>
        <item x="1"/>
        <item x="2"/>
        <item x="3"/>
        <item x="4"/>
        <item x="5"/>
        <item x="6"/>
        <item x="7"/>
        <item x="8"/>
        <item x="9"/>
        <item x="10"/>
        <item x="11"/>
        <item t="default"/>
      </items>
    </pivotField>
    <pivotField dataField="1"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022408-F599-4F1D-8EFA-1DF5E0BC70C8}" name="pvtTopProducts" cacheId="22"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F35:G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9">
    <i>
      <x/>
    </i>
    <i>
      <x v="1"/>
    </i>
    <i>
      <x v="2"/>
    </i>
    <i>
      <x v="3"/>
    </i>
    <i>
      <x v="4"/>
    </i>
    <i>
      <x v="5"/>
    </i>
    <i>
      <x v="6"/>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BCEA03-B8BA-483F-843A-DBB735004B2C}" name="pvtSegment" cacheId="22"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location ref="F20:G2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3BFA2DE-CB89-4BA3-81AE-D6DF00A9CD11}" name="pvtCategory" cacheId="22"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F2:G7"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5">
    <i>
      <x/>
    </i>
    <i>
      <x v="1"/>
    </i>
    <i>
      <x v="2"/>
    </i>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E8002D-F807-417C-8EB6-9AF16C789F3E}" name="pvtManager" cacheId="22"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A35:B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9">
    <i>
      <x/>
    </i>
    <i>
      <x v="1"/>
    </i>
    <i>
      <x v="2"/>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E4A35C-3FDC-46BA-B883-515E7D224FFA}" name="pvtRegion" cacheId="22"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A20:B25"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
    <i>
      <x/>
    </i>
    <i>
      <x v="1"/>
    </i>
    <i>
      <x v="2"/>
    </i>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675D8C-D394-4B06-913E-1DCF038A8FA2}" name="pvtMonthly" cacheId="22"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A2:C15" firstHeaderRow="0" firstDataRow="1" firstDataCol="1"/>
  <pivotFields count="19">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Region" xr10:uid="{49E31931-7E4C-4FB8-9572-7521C78E5BE0}"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704026014">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egory" xr10:uid="{7ACEF4B8-BCE4-4A79-A8B9-CD0C68BD59FA}"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704026014">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onth" xr10:uid="{B5F0E080-52CB-4CEF-8AC6-0AF65734125E}"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70402601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_visual" xr10:uid="{9FF79363-5A00-4D39-B97A-332204A80AEB}" cache="slcRegion" caption="Region" columnCount="2" style="SlicerStyleDark4" rowHeight="254000"/>
  <slicer name="slcCategory_visual" xr10:uid="{AC25A2C6-96DA-49F0-AC0E-694C342248C8}" cache="slcCategory" caption="Product Category" style="SlicerStyleDark4" rowHeight="254000"/>
  <slicer name="slcMonth_visual" xr10:uid="{2734EB88-168E-4791-98A8-B780AD152CB5}" cache="slcMonth" caption="Month" columnCount="2" style="SlicerStyleDark4"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9FD71B-E349-4A28-9680-8B98BFC7793C}" name="tblSales" displayName="tblSales" ref="A1:R501" totalsRowShown="0">
  <autoFilter ref="A1:R501" xr:uid="{A09FD71B-E349-4A28-9680-8B98BFC7793C}"/>
  <tableColumns count="18">
    <tableColumn id="1" xr3:uid="{B8A077C9-2C29-4B86-822E-EF98D32441A5}" name="Date"/>
    <tableColumn id="2" xr3:uid="{C5D1D066-4024-47B5-BB84-72BFA1FABB05}" name="Month"/>
    <tableColumn id="3" xr3:uid="{DC049E23-7E79-4D0B-B023-F052F7A30606}" name="Order ID"/>
    <tableColumn id="4" xr3:uid="{824A2BF4-E3D3-4827-B059-95C9ED355CAA}" name="Region"/>
    <tableColumn id="5" xr3:uid="{957E8A16-B7B7-4416-92CD-E022E237AE76}" name="State"/>
    <tableColumn id="6" xr3:uid="{58180686-B1AB-4910-8FE7-B45CC19B860F}" name="City"/>
    <tableColumn id="7" xr3:uid="{6FC9DA78-9D99-4BE6-8247-C6A48C376648}" name="Sales Manager"/>
    <tableColumn id="8" xr3:uid="{22A20DDE-07F6-4E78-A837-37930FF88CDE}" name="Salesperson"/>
    <tableColumn id="9" xr3:uid="{CC8BB712-76A1-4957-AF01-D10ACF948F45}" name="Channel"/>
    <tableColumn id="10" xr3:uid="{074EA5B3-31DF-4A29-AAAD-273B81A76D66}" name="Customer Segment"/>
    <tableColumn id="11" xr3:uid="{EB8A034A-0431-4642-82A9-DE3BF9E19DB0}" name="Product Category"/>
    <tableColumn id="12" xr3:uid="{37D14036-7055-4B3E-9E60-867661D877B2}" name="Product Name"/>
    <tableColumn id="13" xr3:uid="{00BC6263-7CDC-47C2-84CD-D130196C89BB}" name="Units Sold"/>
    <tableColumn id="14" xr3:uid="{29BDD5F1-CA3A-4DA1-83CA-7A2141A1F07F}" name="Unit Price"/>
    <tableColumn id="15" xr3:uid="{42849B13-AFFE-44D8-A3B7-C2251DA74F11}" name="Sales Amount"/>
    <tableColumn id="16" xr3:uid="{1386E565-3A6C-4128-ACCB-BD1700FDF4EF}" name="Target Sales"/>
    <tableColumn id="17" xr3:uid="{23A62A39-CFE5-4EA3-8455-9C16FDAE39AC}" name="Lead ID"/>
    <tableColumn id="18" xr3:uid="{B44A09C7-3EE6-4BD8-B6F9-3E6DA93D1A83}"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685F8-1A3E-4F67-9A30-BD5629F1E6A3}">
  <dimension ref="A11:E200"/>
  <sheetViews>
    <sheetView showGridLines="0" tabSelected="1" zoomScale="88" zoomScaleNormal="88" workbookViewId="0"/>
  </sheetViews>
  <sheetFormatPr defaultRowHeight="13.5" customHeight="1"/>
  <cols>
    <col min="1" max="18" width="8.8984375" style="3" customWidth="1"/>
    <col min="19" max="19" width="1" style="3" customWidth="1"/>
    <col min="20" max="22" width="8.8984375" style="3" customWidth="1"/>
    <col min="23" max="16384" width="8.796875" style="3"/>
  </cols>
  <sheetData>
    <row r="11" ht="13.5" hidden="1" customHeight="1"/>
    <row r="200" spans="1:5" ht="13.5" hidden="1" customHeight="1">
      <c r="A200" s="4">
        <f>Pivot!L5</f>
        <v>71178664</v>
      </c>
      <c r="B200" s="4">
        <f>Pivot!L6</f>
        <v>41693329</v>
      </c>
      <c r="C200" s="4">
        <f>Pivot!L7</f>
        <v>500</v>
      </c>
      <c r="D200" s="5">
        <f>Pivot!L8</f>
        <v>1.7071955084229422</v>
      </c>
      <c r="E200" s="4">
        <f>Pivot!L9</f>
        <v>2716</v>
      </c>
    </row>
  </sheetData>
  <pageMargins left="0.7" right="0.7" top="0.75" bottom="0.75" header="0.3" footer="0.3"/>
  <pageSetup paperSize="0" orientation="portrait" horizontalDpi="0" verticalDpi="0" copies="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E701B-87D5-44CD-AFD1-A8A1C58B5E16}">
  <sheetPr codeName="Sheet1"/>
  <dimension ref="A1:R501"/>
  <sheetViews>
    <sheetView topLeftCell="E1" workbookViewId="0">
      <selection activeCell="T2" sqref="T2"/>
    </sheetView>
  </sheetViews>
  <sheetFormatPr defaultRowHeight="13.8"/>
  <cols>
    <col min="3" max="3" width="9.8984375" customWidth="1"/>
    <col min="7" max="7" width="15.3984375" customWidth="1"/>
    <col min="8" max="8" width="13.5" customWidth="1"/>
    <col min="9" max="9" width="9.796875" customWidth="1"/>
    <col min="10" max="10" width="19.59765625" customWidth="1"/>
    <col min="11" max="11" width="17.8984375" customWidth="1"/>
    <col min="12" max="12" width="15" customWidth="1"/>
    <col min="13" max="13" width="11.5" customWidth="1"/>
    <col min="14" max="14" width="11.09765625" customWidth="1"/>
    <col min="15" max="15" width="14.796875" customWidth="1"/>
    <col min="16" max="16" width="13.5" customWidth="1"/>
    <col min="17" max="17" width="9.19921875" customWidth="1"/>
  </cols>
  <sheetData>
    <row r="1" spans="1:18">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4561C-0284-4627-9486-39E1986B7B3E}">
  <dimension ref="A2:L44"/>
  <sheetViews>
    <sheetView workbookViewId="0"/>
  </sheetViews>
  <sheetFormatPr defaultRowHeight="13.8"/>
  <cols>
    <col min="1" max="1" width="11" bestFit="1" customWidth="1"/>
    <col min="2" max="2" width="10.3984375" bestFit="1" customWidth="1"/>
    <col min="3" max="3" width="10.796875" bestFit="1" customWidth="1"/>
    <col min="6" max="6" width="11" bestFit="1" customWidth="1"/>
    <col min="7" max="7" width="15.69921875" bestFit="1" customWidth="1"/>
    <col min="11" max="11" width="19.5" bestFit="1" customWidth="1"/>
    <col min="12" max="12" width="10.3984375" bestFit="1" customWidth="1"/>
    <col min="13" max="13" width="16.59765625" bestFit="1" customWidth="1"/>
    <col min="14" max="14" width="11.69921875" bestFit="1" customWidth="1"/>
    <col min="15" max="15" width="21.796875" bestFit="1" customWidth="1"/>
  </cols>
  <sheetData>
    <row r="2" spans="1:12">
      <c r="B2" t="s">
        <v>1574</v>
      </c>
      <c r="C2" t="s">
        <v>1575</v>
      </c>
      <c r="G2" t="s">
        <v>1578</v>
      </c>
    </row>
    <row r="3" spans="1:12">
      <c r="A3" t="s">
        <v>19</v>
      </c>
      <c r="B3" s="1">
        <v>9493746</v>
      </c>
      <c r="C3" s="1">
        <v>4999321</v>
      </c>
      <c r="F3" t="s">
        <v>78</v>
      </c>
      <c r="G3" s="1">
        <v>18170756</v>
      </c>
    </row>
    <row r="4" spans="1:12">
      <c r="A4" t="s">
        <v>172</v>
      </c>
      <c r="B4" s="1">
        <v>7469619</v>
      </c>
      <c r="C4" s="1">
        <v>4330573</v>
      </c>
      <c r="F4" t="s">
        <v>38</v>
      </c>
      <c r="G4" s="1">
        <v>16923957</v>
      </c>
    </row>
    <row r="5" spans="1:12">
      <c r="A5" t="s">
        <v>265</v>
      </c>
      <c r="B5" s="1">
        <v>8819336</v>
      </c>
      <c r="C5" s="1">
        <v>5403755</v>
      </c>
      <c r="F5" t="s">
        <v>71</v>
      </c>
      <c r="G5" s="1">
        <v>20510561</v>
      </c>
      <c r="K5" t="s">
        <v>1574</v>
      </c>
      <c r="L5" s="1">
        <v>71178664</v>
      </c>
    </row>
    <row r="6" spans="1:12">
      <c r="A6" t="s">
        <v>362</v>
      </c>
      <c r="B6" s="1">
        <v>8476507</v>
      </c>
      <c r="C6" s="1">
        <v>5634820</v>
      </c>
      <c r="F6" t="s">
        <v>28</v>
      </c>
      <c r="G6" s="1">
        <v>15573390</v>
      </c>
      <c r="K6" t="s">
        <v>1575</v>
      </c>
      <c r="L6" s="1">
        <v>41693329</v>
      </c>
    </row>
    <row r="7" spans="1:12">
      <c r="A7" t="s">
        <v>454</v>
      </c>
      <c r="B7" s="1">
        <v>6649707</v>
      </c>
      <c r="C7" s="1">
        <v>4104414</v>
      </c>
      <c r="F7" t="s">
        <v>1573</v>
      </c>
      <c r="G7" s="1">
        <v>71178664</v>
      </c>
      <c r="K7" t="s">
        <v>1582</v>
      </c>
      <c r="L7" s="1">
        <v>500</v>
      </c>
    </row>
    <row r="8" spans="1:12">
      <c r="A8" t="s">
        <v>546</v>
      </c>
      <c r="B8" s="1">
        <v>5093440</v>
      </c>
      <c r="C8" s="1">
        <v>2367743</v>
      </c>
      <c r="K8" t="s">
        <v>1583</v>
      </c>
      <c r="L8" s="2">
        <v>1.7071955084229422</v>
      </c>
    </row>
    <row r="9" spans="1:12">
      <c r="A9" t="s">
        <v>637</v>
      </c>
      <c r="B9" s="1">
        <v>3925481</v>
      </c>
      <c r="C9" s="1">
        <v>2619776</v>
      </c>
      <c r="K9" t="s">
        <v>1581</v>
      </c>
      <c r="L9" s="1">
        <v>2716</v>
      </c>
    </row>
    <row r="10" spans="1:12">
      <c r="A10" t="s">
        <v>729</v>
      </c>
      <c r="B10" s="1">
        <v>3595391</v>
      </c>
      <c r="C10" s="1">
        <v>2679841</v>
      </c>
    </row>
    <row r="11" spans="1:12">
      <c r="A11" t="s">
        <v>819</v>
      </c>
      <c r="B11" s="1">
        <v>4710433</v>
      </c>
      <c r="C11" s="1">
        <v>2617244</v>
      </c>
    </row>
    <row r="12" spans="1:12">
      <c r="A12" t="s">
        <v>910</v>
      </c>
      <c r="B12" s="1">
        <v>4845693</v>
      </c>
      <c r="C12" s="1">
        <v>2152060</v>
      </c>
    </row>
    <row r="13" spans="1:12">
      <c r="A13" t="s">
        <v>1002</v>
      </c>
      <c r="B13" s="1">
        <v>3461741</v>
      </c>
      <c r="C13" s="1">
        <v>2683220</v>
      </c>
    </row>
    <row r="14" spans="1:12">
      <c r="A14" t="s">
        <v>1091</v>
      </c>
      <c r="B14" s="1">
        <v>4637570</v>
      </c>
      <c r="C14" s="1">
        <v>2100562</v>
      </c>
    </row>
    <row r="15" spans="1:12">
      <c r="A15" t="s">
        <v>1573</v>
      </c>
      <c r="B15" s="1">
        <v>71178664</v>
      </c>
      <c r="C15" s="1">
        <v>41693329</v>
      </c>
    </row>
    <row r="20" spans="1:7">
      <c r="B20" t="s">
        <v>1576</v>
      </c>
      <c r="G20" t="s">
        <v>1579</v>
      </c>
    </row>
    <row r="21" spans="1:7">
      <c r="A21" t="s">
        <v>43</v>
      </c>
      <c r="B21" s="1">
        <v>18668414</v>
      </c>
      <c r="F21" t="s">
        <v>27</v>
      </c>
      <c r="G21" s="1">
        <v>20118169</v>
      </c>
    </row>
    <row r="22" spans="1:7">
      <c r="A22" t="s">
        <v>64</v>
      </c>
      <c r="B22" s="1">
        <v>17711065</v>
      </c>
      <c r="F22" t="s">
        <v>59</v>
      </c>
      <c r="G22" s="1">
        <v>24476598</v>
      </c>
    </row>
    <row r="23" spans="1:7">
      <c r="A23" t="s">
        <v>21</v>
      </c>
      <c r="B23" s="1">
        <v>17726570</v>
      </c>
      <c r="F23" t="s">
        <v>52</v>
      </c>
      <c r="G23" s="1">
        <v>26583897</v>
      </c>
    </row>
    <row r="24" spans="1:7">
      <c r="A24" t="s">
        <v>33</v>
      </c>
      <c r="B24" s="1">
        <v>17072615</v>
      </c>
      <c r="F24" t="s">
        <v>1573</v>
      </c>
      <c r="G24" s="1">
        <v>71178664</v>
      </c>
    </row>
    <row r="25" spans="1:7">
      <c r="A25" t="s">
        <v>1573</v>
      </c>
      <c r="B25" s="1">
        <v>71178664</v>
      </c>
    </row>
    <row r="35" spans="1:7">
      <c r="B35" t="s">
        <v>1577</v>
      </c>
      <c r="G35" t="s">
        <v>1580</v>
      </c>
    </row>
    <row r="36" spans="1:7">
      <c r="A36" t="s">
        <v>24</v>
      </c>
      <c r="B36" s="1">
        <v>10984676</v>
      </c>
      <c r="F36" t="s">
        <v>53</v>
      </c>
      <c r="G36" s="1">
        <v>8039395</v>
      </c>
    </row>
    <row r="37" spans="1:7">
      <c r="A37" t="s">
        <v>83</v>
      </c>
      <c r="B37" s="1">
        <v>10081357</v>
      </c>
      <c r="F37" t="s">
        <v>29</v>
      </c>
      <c r="G37" s="1">
        <v>10370889</v>
      </c>
    </row>
    <row r="38" spans="1:7">
      <c r="A38" t="s">
        <v>97</v>
      </c>
      <c r="B38" s="1">
        <v>7783994</v>
      </c>
      <c r="F38" t="s">
        <v>60</v>
      </c>
      <c r="G38" s="1">
        <v>10094895</v>
      </c>
    </row>
    <row r="39" spans="1:7">
      <c r="A39" t="s">
        <v>112</v>
      </c>
      <c r="B39" s="1">
        <v>7270437</v>
      </c>
      <c r="F39" t="s">
        <v>66</v>
      </c>
      <c r="G39" s="1">
        <v>9768248</v>
      </c>
    </row>
    <row r="40" spans="1:7">
      <c r="A40" t="s">
        <v>35</v>
      </c>
      <c r="B40" s="1">
        <v>8886747</v>
      </c>
      <c r="F40" t="s">
        <v>39</v>
      </c>
      <c r="G40" s="1">
        <v>10289900</v>
      </c>
    </row>
    <row r="41" spans="1:7">
      <c r="A41" t="s">
        <v>89</v>
      </c>
      <c r="B41" s="1">
        <v>9535030</v>
      </c>
      <c r="F41" t="s">
        <v>85</v>
      </c>
      <c r="G41" s="1">
        <v>8487481</v>
      </c>
    </row>
    <row r="42" spans="1:7">
      <c r="A42" t="s">
        <v>102</v>
      </c>
      <c r="B42" s="1">
        <v>7397476</v>
      </c>
      <c r="F42" t="s">
        <v>125</v>
      </c>
      <c r="G42" s="1">
        <v>8442177</v>
      </c>
    </row>
    <row r="43" spans="1:7">
      <c r="A43" t="s">
        <v>116</v>
      </c>
      <c r="B43" s="1">
        <v>9238947</v>
      </c>
      <c r="F43" t="s">
        <v>117</v>
      </c>
      <c r="G43" s="1">
        <v>5685679</v>
      </c>
    </row>
    <row r="44" spans="1:7">
      <c r="A44" t="s">
        <v>1573</v>
      </c>
      <c r="B44" s="1">
        <v>71178664</v>
      </c>
      <c r="F44" t="s">
        <v>1573</v>
      </c>
      <c r="G44" s="1">
        <v>71178664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HP-VICTUS</cp:lastModifiedBy>
  <dcterms:created xsi:type="dcterms:W3CDTF">2026-05-08T06:02:11Z</dcterms:created>
  <dcterms:modified xsi:type="dcterms:W3CDTF">2026-08-16T20:56:07Z</dcterms:modified>
</cp:coreProperties>
</file>